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  <sheet xmlns:r="http://schemas.openxmlformats.org/officeDocument/2006/relationships" name="Dados_e_Notas" sheetId="2" state="visible" r:id="rId2"/>
    <sheet xmlns:r="http://schemas.openxmlformats.org/officeDocument/2006/relationships" name="Compliance" sheetId="3" state="visible" r:id="rId3"/>
    <sheet xmlns:r="http://schemas.openxmlformats.org/officeDocument/2006/relationships" name="Result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AI Procurement Agent — Matriz de Scoring v1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Pesos: Preço 30% | SLA 25% | Pagamento 15% | Escopo 15% | Garantia 10% | Cobertura 5%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Fornecedor</t>
        </is>
      </c>
      <c r="B4" s="1" t="inlineStr">
        <is>
          <t>Preço (R$)</t>
        </is>
      </c>
      <c r="C4" s="1" t="inlineStr">
        <is>
          <t>Nota Preço</t>
        </is>
      </c>
      <c r="D4" s="1" t="inlineStr">
        <is>
          <t>Nota SLA</t>
        </is>
      </c>
      <c r="E4" s="1" t="inlineStr">
        <is>
          <t>Nota Pagamento</t>
        </is>
      </c>
      <c r="F4" s="1" t="inlineStr">
        <is>
          <t>Nota Escopo</t>
        </is>
      </c>
      <c r="G4" s="1" t="inlineStr">
        <is>
          <t>Nota Garantia</t>
        </is>
      </c>
      <c r="H4" s="1" t="inlineStr">
        <is>
          <t>Nota Cobertura</t>
        </is>
      </c>
      <c r="I4" s="1" t="inlineStr">
        <is>
          <t>Score Final</t>
        </is>
      </c>
    </row>
    <row r="5">
      <c r="A5" s="1" t="inlineStr">
        <is>
          <t>AlphaManutenção Serviços Ltda.</t>
        </is>
      </c>
      <c r="B5" s="2" t="n">
        <v>220000</v>
      </c>
      <c r="C5" s="1" t="n">
        <v>90</v>
      </c>
      <c r="D5" s="1" t="n">
        <v>90</v>
      </c>
      <c r="E5" s="1" t="n">
        <v>80</v>
      </c>
      <c r="F5" s="1" t="n">
        <v>100</v>
      </c>
      <c r="G5" s="1" t="n">
        <v>80</v>
      </c>
      <c r="H5" s="1" t="n">
        <v>100</v>
      </c>
      <c r="I5" s="3">
        <f>C5*30%+D5*25%+E5*15%+F5*15%+G5*10%+H5*5%</f>
        <v/>
      </c>
    </row>
    <row r="6">
      <c r="A6" s="1" t="inlineStr">
        <is>
          <t>BetaTech Facilities S.A.</t>
        </is>
      </c>
      <c r="B6" s="2" t="n">
        <v>198000</v>
      </c>
      <c r="C6" s="1" t="n">
        <v>100</v>
      </c>
      <c r="D6" s="1" t="n">
        <v>50</v>
      </c>
      <c r="E6" s="1" t="n">
        <v>90</v>
      </c>
      <c r="F6" s="1" t="n">
        <v>100</v>
      </c>
      <c r="G6" s="1" t="n">
        <v>80</v>
      </c>
      <c r="H6" s="1" t="n">
        <v>100</v>
      </c>
      <c r="I6" s="3">
        <f>C6*30%+D6*25%+E6*15%+F6*15%+G6*10%+H6*5%</f>
        <v/>
      </c>
    </row>
    <row r="7">
      <c r="A7" s="1" t="inlineStr">
        <is>
          <t>Sigma Engenharia e Manutenção Ltda.</t>
        </is>
      </c>
      <c r="B7" s="2" t="n">
        <v>235000</v>
      </c>
      <c r="C7" s="1" t="n">
        <v>84.255319</v>
      </c>
      <c r="D7" s="1" t="n">
        <v>90</v>
      </c>
      <c r="E7" s="1" t="n">
        <v>100</v>
      </c>
      <c r="F7" s="1" t="n">
        <v>100</v>
      </c>
      <c r="G7" s="1" t="n">
        <v>100</v>
      </c>
      <c r="H7" s="1" t="n">
        <v>100</v>
      </c>
      <c r="I7" s="3">
        <f>C7*30%+D7*25%+E7*15%+F7*15%+G7*10%+H7*5%</f>
        <v/>
      </c>
    </row>
    <row r="8">
      <c r="A8" s="1" t="inlineStr">
        <is>
          <t>DeltaServ Serviços Técnicos Ltda.</t>
        </is>
      </c>
      <c r="B8" s="2" t="n">
        <v>247000</v>
      </c>
      <c r="C8" s="1" t="n">
        <v>80.16194299999999</v>
      </c>
      <c r="D8" s="1" t="n">
        <v>100</v>
      </c>
      <c r="E8" s="1" t="n">
        <v>40</v>
      </c>
      <c r="F8" s="1" t="n">
        <v>100</v>
      </c>
      <c r="G8" s="1" t="n">
        <v>90</v>
      </c>
      <c r="H8" s="1" t="n">
        <v>100</v>
      </c>
      <c r="I8" s="3">
        <f>C8*30%+D8*25%+E8*15%+F8*15%+G8*10%+H8*5%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4" t="inlineStr">
        <is>
          <t>Regras de pontuação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inlineStr">
        <is>
          <t>Preço</t>
        </is>
      </c>
      <c r="B12" s="1" t="inlineStr">
        <is>
          <t>menor preço / preço do fornecedor × 100</t>
        </is>
      </c>
      <c r="C12" s="1" t="n"/>
      <c r="D12" s="1" t="n"/>
      <c r="E12" s="1" t="n"/>
      <c r="F12" s="1" t="n"/>
      <c r="G12" s="1" t="n"/>
      <c r="H12" s="1" t="n"/>
      <c r="I12" s="1" t="n"/>
    </row>
    <row r="13">
      <c r="A13" s="1" t="inlineStr">
        <is>
          <t>SLA</t>
        </is>
      </c>
      <c r="B13" s="1" t="inlineStr">
        <is>
          <t>≤3h = 100 | 4h = 90 | 5h = 70 | 6h = 50 | &gt;6h = 0</t>
        </is>
      </c>
      <c r="C13" s="1" t="n"/>
      <c r="D13" s="1" t="n"/>
      <c r="E13" s="1" t="n"/>
      <c r="F13" s="1" t="n"/>
      <c r="G13" s="1" t="n"/>
      <c r="H13" s="1" t="n"/>
      <c r="I13" s="1" t="n"/>
    </row>
    <row r="14">
      <c r="A14" s="1" t="inlineStr">
        <is>
          <t>Pagamento</t>
        </is>
      </c>
      <c r="B14" s="1" t="inlineStr">
        <is>
          <t>≥60d = 100 | 45d = 90 | 30d = 80 | 15d = 40 | &lt;15d = 0</t>
        </is>
      </c>
      <c r="C14" s="1" t="n"/>
      <c r="D14" s="1" t="n"/>
      <c r="E14" s="1" t="n"/>
      <c r="F14" s="1" t="n"/>
      <c r="G14" s="1" t="n"/>
      <c r="H14" s="1" t="n"/>
      <c r="I14" s="1" t="n"/>
    </row>
    <row r="15">
      <c r="A15" s="1" t="inlineStr">
        <is>
          <t>Escopo</t>
        </is>
      </c>
      <c r="B15" s="1" t="inlineStr">
        <is>
          <t>100 = atende integralmente</t>
        </is>
      </c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Garantia</t>
        </is>
      </c>
      <c r="B16" s="1" t="inlineStr">
        <is>
          <t>12m = 80 | 18m = 90 | 24m = 100</t>
        </is>
      </c>
      <c r="C16" s="1" t="n"/>
      <c r="D16" s="1" t="n"/>
      <c r="E16" s="1" t="n"/>
      <c r="F16" s="1" t="n"/>
      <c r="G16" s="1" t="n"/>
      <c r="H16" s="1" t="n"/>
      <c r="I16" s="1" t="n"/>
    </row>
    <row r="17">
      <c r="A17" s="1" t="inlineStr">
        <is>
          <t>Cobertura</t>
        </is>
      </c>
      <c r="B17" s="1" t="inlineStr">
        <is>
          <t>Grande SP = 100</t>
        </is>
      </c>
      <c r="C17" s="1" t="n"/>
      <c r="D17" s="1" t="n"/>
      <c r="E17" s="1" t="n"/>
      <c r="F17" s="1" t="n"/>
      <c r="G17" s="1" t="n"/>
      <c r="H17" s="1" t="n"/>
      <c r="I1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6" customWidth="1" min="4" max="4"/>
    <col width="22" customWidth="1" min="5" max="5"/>
    <col width="16" customWidth="1" min="6" max="6"/>
    <col width="24" customWidth="1" min="7" max="7"/>
    <col width="60" customWidth="1" min="8" max="8"/>
  </cols>
  <sheetData>
    <row r="1">
      <c r="A1" s="1" t="inlineStr">
        <is>
          <t>Fornecedor</t>
        </is>
      </c>
      <c r="B1" s="1" t="inlineStr">
        <is>
          <t>Preço</t>
        </is>
      </c>
      <c r="C1" s="1" t="inlineStr">
        <is>
          <t>SLA</t>
        </is>
      </c>
      <c r="D1" s="1" t="inlineStr">
        <is>
          <t>Pagamento</t>
        </is>
      </c>
      <c r="E1" s="1" t="inlineStr">
        <is>
          <t>Escopo</t>
        </is>
      </c>
      <c r="F1" s="1" t="inlineStr">
        <is>
          <t>Garantia</t>
        </is>
      </c>
      <c r="G1" s="1" t="inlineStr">
        <is>
          <t>Cobertura</t>
        </is>
      </c>
      <c r="H1" s="1" t="inlineStr">
        <is>
          <t>Observação</t>
        </is>
      </c>
    </row>
    <row r="2">
      <c r="A2" s="1" t="inlineStr">
        <is>
          <t>AlphaManutenção Serviços Ltda.</t>
        </is>
      </c>
      <c r="B2" s="1" t="n">
        <v>220000</v>
      </c>
      <c r="C2" s="1" t="inlineStr">
        <is>
          <t>4h</t>
        </is>
      </c>
      <c r="D2" s="1" t="inlineStr">
        <is>
          <t>30 dias</t>
        </is>
      </c>
      <c r="E2" s="1" t="inlineStr">
        <is>
          <t>Atende</t>
        </is>
      </c>
      <c r="F2" s="1" t="inlineStr">
        <is>
          <t>12 meses</t>
        </is>
      </c>
      <c r="G2" s="1" t="inlineStr">
        <is>
          <t>Grande SP</t>
        </is>
      </c>
      <c r="H2" s="1" t="inlineStr">
        <is>
          <t>Aderente; oportunidade de saving.</t>
        </is>
      </c>
    </row>
    <row r="3">
      <c r="A3" s="1" t="inlineStr">
        <is>
          <t>BetaTech Facilities S.A.</t>
        </is>
      </c>
      <c r="B3" s="1" t="n">
        <v>198000</v>
      </c>
      <c r="C3" s="1" t="inlineStr">
        <is>
          <t>6h</t>
        </is>
      </c>
      <c r="D3" s="1" t="inlineStr">
        <is>
          <t>45 dias</t>
        </is>
      </c>
      <c r="E3" s="1" t="inlineStr">
        <is>
          <t>Ressalva</t>
        </is>
      </c>
      <c r="F3" s="1" t="inlineStr">
        <is>
          <t>12 meses</t>
        </is>
      </c>
      <c r="G3" s="1" t="inlineStr">
        <is>
          <t>Grande SP</t>
        </is>
      </c>
      <c r="H3" s="1" t="inlineStr">
        <is>
          <t>Menor preço; SLA fora do requisito.</t>
        </is>
      </c>
    </row>
    <row r="4">
      <c r="A4" s="1" t="inlineStr">
        <is>
          <t>Sigma Engenharia e Manutenção Ltda.</t>
        </is>
      </c>
      <c r="B4" s="1" t="n">
        <v>235000</v>
      </c>
      <c r="C4" s="1" t="inlineStr">
        <is>
          <t>4h</t>
        </is>
      </c>
      <c r="D4" s="1" t="inlineStr">
        <is>
          <t>60 dias</t>
        </is>
      </c>
      <c r="E4" s="1" t="inlineStr">
        <is>
          <t>Atende</t>
        </is>
      </c>
      <c r="F4" s="1" t="inlineStr">
        <is>
          <t>24 meses</t>
        </is>
      </c>
      <c r="G4" s="1" t="inlineStr">
        <is>
          <t>Grande SP</t>
        </is>
      </c>
      <c r="H4" s="1" t="inlineStr">
        <is>
          <t>Validar garantia adicional com área técnica.</t>
        </is>
      </c>
    </row>
    <row r="5">
      <c r="A5" s="1" t="inlineStr">
        <is>
          <t>DeltaServ Serviços Técnicos Ltda.</t>
        </is>
      </c>
      <c r="B5" s="1" t="n">
        <v>247000</v>
      </c>
      <c r="C5" s="1" t="inlineStr">
        <is>
          <t>3h</t>
        </is>
      </c>
      <c r="D5" s="1" t="inlineStr">
        <is>
          <t>15 dias</t>
        </is>
      </c>
      <c r="E5" s="1" t="inlineStr">
        <is>
          <t>Atende</t>
        </is>
      </c>
      <c r="F5" s="1" t="inlineStr">
        <is>
          <t>18 meses</t>
        </is>
      </c>
      <c r="G5" s="1" t="inlineStr">
        <is>
          <t>Grande SP + proximidades</t>
        </is>
      </c>
      <c r="H5" s="1" t="inlineStr">
        <is>
          <t>Preço elevado e pagamento curto.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6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Fornecedor</t>
        </is>
      </c>
      <c r="B1" s="1" t="inlineStr">
        <is>
          <t>SLA ≤4h</t>
        </is>
      </c>
      <c r="C1" s="1" t="inlineStr">
        <is>
          <t>Pagamento ≥30d</t>
        </is>
      </c>
      <c r="D1" s="1" t="inlineStr">
        <is>
          <t>Cobertura</t>
        </is>
      </c>
      <c r="E1" s="1" t="inlineStr">
        <is>
          <t>24x7</t>
        </is>
      </c>
      <c r="F1" s="1" t="inlineStr">
        <is>
          <t>Contrato 12m</t>
        </is>
      </c>
      <c r="G1" s="1" t="inlineStr">
        <is>
          <t>Status</t>
        </is>
      </c>
    </row>
    <row r="2">
      <c r="A2" s="1" t="inlineStr">
        <is>
          <t>AlphaManutenção Serviços Ltda.</t>
        </is>
      </c>
      <c r="B2" s="1" t="inlineStr">
        <is>
          <t>SIM</t>
        </is>
      </c>
      <c r="C2" s="1" t="inlineStr">
        <is>
          <t>SIM</t>
        </is>
      </c>
      <c r="D2" s="1" t="inlineStr">
        <is>
          <t>SIM</t>
        </is>
      </c>
      <c r="E2" s="1" t="inlineStr">
        <is>
          <t>SIM</t>
        </is>
      </c>
      <c r="F2" s="1" t="inlineStr">
        <is>
          <t>SIM</t>
        </is>
      </c>
      <c r="G2" s="1" t="inlineStr">
        <is>
          <t>CONFORME</t>
        </is>
      </c>
    </row>
    <row r="3">
      <c r="A3" s="1" t="inlineStr">
        <is>
          <t>BetaTech Facilities S.A.</t>
        </is>
      </c>
      <c r="B3" s="1" t="inlineStr">
        <is>
          <t>NÃO</t>
        </is>
      </c>
      <c r="C3" s="1" t="inlineStr">
        <is>
          <t>SIM</t>
        </is>
      </c>
      <c r="D3" s="1" t="inlineStr">
        <is>
          <t>SIM</t>
        </is>
      </c>
      <c r="E3" s="1" t="inlineStr">
        <is>
          <t>RESSALVA</t>
        </is>
      </c>
      <c r="F3" s="1" t="inlineStr">
        <is>
          <t>SIM</t>
        </is>
      </c>
      <c r="G3" s="1" t="inlineStr">
        <is>
          <t>COM RESSALVA</t>
        </is>
      </c>
    </row>
    <row r="4">
      <c r="A4" s="1" t="inlineStr">
        <is>
          <t>Sigma Engenharia e Manutenção Ltda.</t>
        </is>
      </c>
      <c r="B4" s="1" t="inlineStr">
        <is>
          <t>SIM</t>
        </is>
      </c>
      <c r="C4" s="1" t="inlineStr">
        <is>
          <t>SIM</t>
        </is>
      </c>
      <c r="D4" s="1" t="inlineStr">
        <is>
          <t>SIM</t>
        </is>
      </c>
      <c r="E4" s="1" t="inlineStr">
        <is>
          <t>SIM</t>
        </is>
      </c>
      <c r="F4" s="1" t="inlineStr">
        <is>
          <t>SIM</t>
        </is>
      </c>
      <c r="G4" s="1" t="inlineStr">
        <is>
          <t>CONFORME</t>
        </is>
      </c>
    </row>
    <row r="5">
      <c r="A5" s="1" t="inlineStr">
        <is>
          <t>DeltaServ Serviços Técnicos Ltda.</t>
        </is>
      </c>
      <c r="B5" s="1" t="inlineStr">
        <is>
          <t>SIM</t>
        </is>
      </c>
      <c r="C5" s="1" t="inlineStr">
        <is>
          <t>NÃO</t>
        </is>
      </c>
      <c r="D5" s="1" t="inlineStr">
        <is>
          <t>SIM</t>
        </is>
      </c>
      <c r="E5" s="1" t="inlineStr">
        <is>
          <t>SIM</t>
        </is>
      </c>
      <c r="F5" s="1" t="inlineStr">
        <is>
          <t>SIM</t>
        </is>
      </c>
      <c r="G5" s="1" t="inlineStr">
        <is>
          <t>COM RESSALVA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Resultado do Scoring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>
      <c r="A3" s="1" t="inlineStr">
        <is>
          <t>Fornecedor</t>
        </is>
      </c>
      <c r="B3" s="1" t="inlineStr">
        <is>
          <t>Score Final</t>
        </is>
      </c>
      <c r="C3" s="1" t="inlineStr">
        <is>
          <t>Compliance</t>
        </is>
      </c>
      <c r="D3" s="1" t="inlineStr">
        <is>
          <t>Leitura</t>
        </is>
      </c>
      <c r="E3" s="1" t="inlineStr">
        <is>
          <t>Oportunidade</t>
        </is>
      </c>
      <c r="F3" s="1" t="inlineStr">
        <is>
          <t>Ressalva</t>
        </is>
      </c>
    </row>
    <row r="4">
      <c r="A4" s="1" t="inlineStr">
        <is>
          <t>AlphaManutenção Serviços Ltda.</t>
        </is>
      </c>
      <c r="B4" s="1">
        <f>Scoring!I5</f>
        <v/>
      </c>
      <c r="C4" s="1" t="inlineStr">
        <is>
          <t>CONFORME</t>
        </is>
      </c>
      <c r="D4" s="1" t="inlineStr">
        <is>
          <t>Boa aderência.</t>
        </is>
      </c>
      <c r="E4" s="1" t="inlineStr">
        <is>
          <t>Negociar redução do valor anual.</t>
        </is>
      </c>
      <c r="F4" s="1" t="inlineStr">
        <is>
          <t>Buscar saving sem alterar escopo.</t>
        </is>
      </c>
    </row>
    <row r="5">
      <c r="A5" s="1" t="inlineStr">
        <is>
          <t>BetaTech Facilities S.A.</t>
        </is>
      </c>
      <c r="B5" s="1">
        <f>Scoring!I6</f>
        <v/>
      </c>
      <c r="C5" s="1" t="inlineStr">
        <is>
          <t>COM RESSALVA</t>
        </is>
      </c>
      <c r="D5" s="1" t="inlineStr">
        <is>
          <t>Menor preço, mas SLA não atende.</t>
        </is>
      </c>
      <c r="E5" s="1" t="inlineStr">
        <is>
          <t>Negociar SLA ≤4h.</t>
        </is>
      </c>
      <c r="F5" s="1" t="inlineStr">
        <is>
          <t>SLA de 6h.</t>
        </is>
      </c>
    </row>
    <row r="6">
      <c r="A6" s="1" t="inlineStr">
        <is>
          <t>Sigma Engenharia e Manutenção Ltda.</t>
        </is>
      </c>
      <c r="B6" s="1">
        <f>Scoring!I7</f>
        <v/>
      </c>
      <c r="C6" s="1" t="inlineStr">
        <is>
          <t>CONFORME</t>
        </is>
      </c>
      <c r="D6" s="1" t="inlineStr">
        <is>
          <t>Boa condição financeira e garantia superior.</t>
        </is>
      </c>
      <c r="E6" s="1" t="inlineStr">
        <is>
          <t>Negociar preço e validar benefícios.</t>
        </is>
      </c>
      <c r="F6" s="1" t="inlineStr">
        <is>
          <t>Garantia de 24 meses precisa de validação técnica.</t>
        </is>
      </c>
    </row>
    <row r="7">
      <c r="A7" s="1" t="inlineStr">
        <is>
          <t>DeltaServ Serviços Técnicos Ltda.</t>
        </is>
      </c>
      <c r="B7" s="1">
        <f>Scoring!I8</f>
        <v/>
      </c>
      <c r="C7" s="1" t="inlineStr">
        <is>
          <t>COM RESSALVA</t>
        </is>
      </c>
      <c r="D7" s="1" t="inlineStr">
        <is>
          <t>Excelente SLA, mas preço alto e pagamento curto.</t>
        </is>
      </c>
      <c r="E7" s="1" t="inlineStr">
        <is>
          <t>Negociar preço e prazo.</t>
        </is>
      </c>
      <c r="F7" s="1" t="inlineStr">
        <is>
          <t>Pagamento de 15 dias.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2026-09-28T15:49:17Z</dcterms:created>
  <dcterms:modified xmlns:dcterms="http://purl.org/dc/terms/" xmlns:xsi="http://www.w3.org/2001/XMLSchema-instance" xsi:type="dcterms:W3CDTF">2026-09-28T15:49:17Z</dcterms:modified>
</cp:coreProperties>
</file>